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Unitarias" sheetId="2" state="visible" r:id="rId2"/>
    <sheet name="Integración" sheetId="3" state="visible" r:id="rId3"/>
    <sheet name="Rendimiento" sheetId="4" state="visible" r:id="rId4"/>
  </sheets>
  <definedNames>
    <definedName name="_xlnm._FilterDatabase" localSheetId="1" hidden="1">'Unitarias'!$A$3:$G$51</definedName>
    <definedName name="_xlnm._FilterDatabase" localSheetId="2" hidden="1">'Integración'!$A$3:$G$12</definedName>
    <definedName name="_xlnm._FilterDatabase" localSheetId="3" hidden="1">'Rendimiento'!$A$3:$G$7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1E1B4B"/>
      <sz val="14"/>
    </font>
    <font>
      <name val="Arial"/>
      <b val="1"/>
      <color rgb="00FFFFFF"/>
    </font>
    <font>
      <name val="Arial"/>
      <sz val="10"/>
    </font>
    <font>
      <name val="Arial"/>
      <b val="1"/>
      <color rgb="001E1B4B"/>
      <sz val="16"/>
    </font>
    <font>
      <name val="Arial"/>
      <i val="1"/>
      <color rgb="0064748B"/>
      <sz val="10"/>
    </font>
    <font>
      <name val="Arial"/>
      <b val="1"/>
      <color rgb="001E1B4B"/>
    </font>
    <font>
      <name val="Arial"/>
      <b val="1"/>
      <color rgb="001E1B4B"/>
      <sz val="12"/>
    </font>
    <font>
      <name val="Arial"/>
      <b val="1"/>
      <sz val="10"/>
    </font>
    <font>
      <name val="Arial"/>
      <i val="1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1B4B"/>
      </patternFill>
    </fill>
    <fill>
      <patternFill patternType="solid">
        <fgColor rgb="00F8FAFC"/>
      </patternFill>
    </fill>
    <fill>
      <patternFill patternType="solid">
        <fgColor rgb="008B5CF6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b val="1"/>
        <color rgb="00166534"/>
      </font>
      <fill>
        <patternFill patternType="solid">
          <fgColor rgb="00DCFCE7"/>
        </patternFill>
      </fill>
    </dxf>
    <dxf>
      <font>
        <name val="Arial"/>
        <b val="1"/>
        <color rgb="00854D0E"/>
      </font>
      <fill>
        <patternFill patternType="solid">
          <fgColor rgb="00FEF9C3"/>
        </patternFill>
      </fill>
    </dxf>
    <dxf>
      <font>
        <name val="Arial"/>
        <b val="1"/>
        <color rgb="00991B1B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14" customWidth="1" min="4" max="4"/>
    <col width="22" customWidth="1" min="5" max="5"/>
    <col width="14" customWidth="1" min="6" max="6"/>
    <col width="14" customWidth="1" min="7" max="7"/>
  </cols>
  <sheetData>
    <row r="1">
      <c r="A1" s="1" t="inlineStr">
        <is>
          <t>Plan de pruebas — SoftwareTienda (Sistema comercial)</t>
        </is>
      </c>
    </row>
    <row r="2">
      <c r="A2" s="2" t="inlineStr">
        <is>
          <t>Ciclo de pruebas de la Fase 4. Ejecución: 25/10/2026. Estados calculados con fórmulas a partir de las hojas de detalle.</t>
        </is>
      </c>
    </row>
    <row r="4">
      <c r="A4" s="3" t="inlineStr">
        <is>
          <t>Tipo de prueba</t>
        </is>
      </c>
      <c r="B4" s="3" t="inlineStr">
        <is>
          <t>Herramienta</t>
        </is>
      </c>
      <c r="C4" s="3" t="inlineStr">
        <is>
          <t>Casos</t>
        </is>
      </c>
      <c r="D4" s="3" t="inlineStr">
        <is>
          <t>Aprobado</t>
        </is>
      </c>
      <c r="E4" s="3" t="inlineStr">
        <is>
          <t>Aprobado con observación</t>
        </is>
      </c>
      <c r="F4" s="3" t="inlineStr">
        <is>
          <t>No cumple</t>
        </is>
      </c>
      <c r="G4" s="3" t="inlineStr">
        <is>
          <t>% aprobado</t>
        </is>
      </c>
    </row>
    <row r="5">
      <c r="A5" s="4" t="inlineStr">
        <is>
          <t>Unitarias</t>
        </is>
      </c>
      <c r="B5" s="5" t="inlineStr">
        <is>
          <t>Django TestCase / unittest + coverage.py; arnés en navegador para validacion.js</t>
        </is>
      </c>
      <c r="C5" s="4">
        <f>COUNTA('Unitarias'!$G$4:$G$51)</f>
        <v/>
      </c>
      <c r="D5" s="4">
        <f>COUNTIF('Unitarias'!$G$4:$G$51,"Aprobado")</f>
        <v/>
      </c>
      <c r="E5" s="4">
        <f>COUNTIF('Unitarias'!$G$4:$G$51,"Aprobado con observación")</f>
        <v/>
      </c>
      <c r="F5" s="4">
        <f>COUNTIF('Unitarias'!$G$4:$G$51,"No cumple")</f>
        <v/>
      </c>
      <c r="G5" s="6">
        <f>IF(C5=0,0,(D5+E5)/C5)</f>
        <v/>
      </c>
    </row>
    <row r="6">
      <c r="A6" s="4" t="inlineStr">
        <is>
          <t>Integración</t>
        </is>
      </c>
      <c r="B6" s="5" t="inlineStr">
        <is>
          <t>Django TestCase con cliente HTTP (sesiones, mensajes y redirecciones reales)</t>
        </is>
      </c>
      <c r="C6" s="4">
        <f>COUNTA('Integración'!$G$4:$G$12)</f>
        <v/>
      </c>
      <c r="D6" s="4">
        <f>COUNTIF('Integración'!$G$4:$G$12,"Aprobado")</f>
        <v/>
      </c>
      <c r="E6" s="4">
        <f>COUNTIF('Integración'!$G$4:$G$12,"Aprobado con observación")</f>
        <v/>
      </c>
      <c r="F6" s="4">
        <f>COUNTIF('Integración'!$G$4:$G$12,"No cumple")</f>
        <v/>
      </c>
      <c r="G6" s="6">
        <f>IF(C6=0,0,(D6+E6)/C6)</f>
        <v/>
      </c>
    </row>
    <row r="7">
      <c r="A7" s="4" t="inlineStr">
        <is>
          <t>Rendimiento</t>
        </is>
      </c>
      <c r="B7" s="5" t="inlineStr">
        <is>
          <t>Locust 2.47 (carga, estrés y humo)</t>
        </is>
      </c>
      <c r="C7" s="4">
        <f>COUNTA('Rendimiento'!$G$4:$G$7)</f>
        <v/>
      </c>
      <c r="D7" s="4">
        <f>COUNTIF('Rendimiento'!$G$4:$G$7,"Aprobado")</f>
        <v/>
      </c>
      <c r="E7" s="4">
        <f>COUNTIF('Rendimiento'!$G$4:$G$7,"Aprobado con observación")</f>
        <v/>
      </c>
      <c r="F7" s="4">
        <f>COUNTIF('Rendimiento'!$G$4:$G$7,"No cumple")</f>
        <v/>
      </c>
      <c r="G7" s="6">
        <f>IF(C7=0,0,(D7+E7)/C7)</f>
        <v/>
      </c>
    </row>
    <row r="8">
      <c r="A8" s="7" t="inlineStr">
        <is>
          <t>Total</t>
        </is>
      </c>
      <c r="B8" s="7" t="n"/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8">
        <f>IF(C8=0,0,(D8+E8)/C8)</f>
        <v/>
      </c>
    </row>
    <row r="10">
      <c r="A10" s="9" t="inlineStr">
        <is>
          <t>Indicadores de la ejecución</t>
        </is>
      </c>
    </row>
    <row r="11">
      <c r="A11" s="10" t="inlineStr">
        <is>
          <t>Indicador</t>
        </is>
      </c>
      <c r="B11" s="10" t="inlineStr">
        <is>
          <t>Resultado</t>
        </is>
      </c>
      <c r="C11" s="10" t="inlineStr">
        <is>
          <t>Fuente / nota</t>
        </is>
      </c>
    </row>
    <row r="12">
      <c r="A12" s="5" t="inlineStr">
        <is>
          <t>Pruebas automatizadas (unitarias + integración)</t>
        </is>
      </c>
      <c r="B12" s="11" t="inlineStr">
        <is>
          <t>107 de 107 aprobadas</t>
        </is>
      </c>
      <c r="C12" s="5" t="inlineStr">
        <is>
          <t>python manage.py test aplicaciones</t>
        </is>
      </c>
    </row>
    <row r="13">
      <c r="A13" s="5" t="inlineStr">
        <is>
          <t>Cobertura de código (coverage.py, con ramas)</t>
        </is>
      </c>
      <c r="B13" s="11" t="inlineStr">
        <is>
          <t>86 %</t>
        </is>
      </c>
      <c r="C13" s="5" t="inlineStr">
        <is>
          <t>coverage report; detalle en htmlcov/index.html</t>
        </is>
      </c>
    </row>
    <row r="14">
      <c r="A14" s="5" t="inlineStr">
        <is>
          <t>Deducciones de salud y pensión</t>
        </is>
      </c>
      <c r="B14" s="11" t="inlineStr">
        <is>
          <t>4 % + 4 % sobre salario base</t>
        </is>
      </c>
      <c r="C14" s="5" t="inlineStr">
        <is>
          <t>Bonificaciones y horas extra no afectan la base</t>
        </is>
      </c>
    </row>
    <row r="15">
      <c r="A15" s="5" t="inlineStr">
        <is>
          <t>Mejora por conexiones persistentes</t>
        </is>
      </c>
      <c r="B15" s="11" t="inlineStr">
        <is>
          <t>Mediana −63 %, throughput +61 %</t>
        </is>
      </c>
      <c r="C15" s="5" t="inlineStr">
        <is>
          <t>Comparación carga_base vs carga_optimizada</t>
        </is>
      </c>
    </row>
    <row r="16">
      <c r="A16" s="5" t="inlineStr">
        <is>
          <t>Capacidad estimada (local)</t>
        </is>
      </c>
      <c r="B16" s="11" t="inlineStr">
        <is>
          <t>≈ 35 usuarios concurrentes con p95 ≤ 2 s</t>
        </is>
      </c>
      <c r="C16" s="5" t="inlineStr">
        <is>
          <t>Quiebre por latencia ≈ 60 usuarios; 0 errores hasta 200</t>
        </is>
      </c>
    </row>
    <row r="17">
      <c r="A17" s="5" t="inlineStr">
        <is>
          <t>Producción (Vercel)</t>
        </is>
      </c>
      <c r="B17" s="11" t="inlineStr">
        <is>
          <t>p95 140 ms, 0 errores</t>
        </is>
      </c>
      <c r="C17" s="5" t="inlineStr">
        <is>
          <t>Prueba de humo anónima</t>
        </is>
      </c>
    </row>
    <row r="19" ht="30" customHeight="1">
      <c r="A19" s="12" t="inlineStr">
        <is>
          <t>Leyenda de estados: Aprobado = cumple el resultado esperado; Aprobado con observación = cumple con una salvedad documentada; No cumple = no alcanzó el criterio (se documenta la causa y la corrección aplicada).</t>
        </is>
      </c>
    </row>
  </sheetData>
  <mergeCells count="3">
    <mergeCell ref="A19:G19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42" customWidth="1" min="3" max="3"/>
    <col width="42" customWidth="1" min="4" max="4"/>
    <col width="46" customWidth="1" min="5" max="5"/>
    <col width="52" customWidth="1" min="6" max="6"/>
    <col width="16" customWidth="1" min="7" max="7"/>
  </cols>
  <sheetData>
    <row r="1">
      <c r="A1" s="13" t="inlineStr">
        <is>
          <t>Plan de pruebas — Unitarias</t>
        </is>
      </c>
    </row>
    <row r="3">
      <c r="A3" s="10" t="inlineStr">
        <is>
          <t>ID</t>
        </is>
      </c>
      <c r="B3" s="10" t="inlineStr">
        <is>
          <t>Módulo</t>
        </is>
      </c>
      <c r="C3" s="10" t="inlineStr">
        <is>
          <t>Descripción</t>
        </is>
      </c>
      <c r="D3" s="10" t="inlineStr">
        <is>
          <t>Entrada</t>
        </is>
      </c>
      <c r="E3" s="10" t="inlineStr">
        <is>
          <t>Resultado esperado</t>
        </is>
      </c>
      <c r="F3" s="10" t="inlineStr">
        <is>
          <t>Observación</t>
        </is>
      </c>
      <c r="G3" s="10" t="inlineStr">
        <is>
          <t>Estado</t>
        </is>
      </c>
    </row>
    <row r="4">
      <c r="A4" s="4" t="inlineStr">
        <is>
          <t>PU-01</t>
        </is>
      </c>
      <c r="B4" s="5" t="inlineStr">
        <is>
          <t>Cálculo de nómina</t>
        </is>
      </c>
      <c r="C4" s="5" t="inlineStr">
        <is>
          <t>Salud y pensión se calculan sobre el salario base</t>
        </is>
      </c>
      <c r="D4" s="5" t="inlineStr">
        <is>
          <t>Salario 1.000.000; bonificación 10% de meta 500.000; horas extra $30.000</t>
        </is>
      </c>
      <c r="E4" s="5" t="inlineStr">
        <is>
          <t>Salud $40.000 (4%), pensión $40.000 (4%), deducciones $80.000; total = 1.000.000 + 50.000 + 30.000 − 80.000</t>
        </is>
      </c>
      <c r="F4" s="5" t="inlineStr">
        <is>
          <t>test_deducciones_salud_pension_sobre_salario_bruto. Bonificación y horas extra no afectan la base del 4%.</t>
        </is>
      </c>
      <c r="G4" s="4" t="inlineStr">
        <is>
          <t>Aprobado</t>
        </is>
      </c>
    </row>
    <row r="5">
      <c r="A5" s="14" t="inlineStr">
        <is>
          <t>PU-02</t>
        </is>
      </c>
      <c r="B5" s="15" t="inlineStr">
        <is>
          <t>Cálculo de nómina</t>
        </is>
      </c>
      <c r="C5" s="15" t="inlineStr">
        <is>
          <t>Salario cero no genera deducciones</t>
        </is>
      </c>
      <c r="D5" s="15" t="inlineStr">
        <is>
          <t>Salario base 0</t>
        </is>
      </c>
      <c r="E5" s="15" t="inlineStr">
        <is>
          <t>Salud $0 y pensión $0</t>
        </is>
      </c>
      <c r="F5" s="15" t="inlineStr">
        <is>
          <t>test_salario_cero_da_deducciones_cero</t>
        </is>
      </c>
      <c r="G5" s="14" t="inlineStr">
        <is>
          <t>Aprobado</t>
        </is>
      </c>
    </row>
    <row r="6">
      <c r="A6" s="4" t="inlineStr">
        <is>
          <t>PU-03</t>
        </is>
      </c>
      <c r="B6" s="5" t="inlineStr">
        <is>
          <t>Cálculo de nómina</t>
        </is>
      </c>
      <c r="C6" s="5" t="inlineStr">
        <is>
          <t>Redondeo de salud y pensión con salario impar</t>
        </is>
      </c>
      <c r="D6" s="5" t="inlineStr">
        <is>
          <t>Salarios 1.423.500 y 1.000.001</t>
        </is>
      </c>
      <c r="E6" s="5" t="inlineStr">
        <is>
          <t>Salud = pensión, sin centavos; deducciones = salud + pensión</t>
        </is>
      </c>
      <c r="F6" s="5" t="inlineStr">
        <is>
          <t>test_redondeo_salud_y_pension_para_salario_impar</t>
        </is>
      </c>
      <c r="G6" s="4" t="inlineStr">
        <is>
          <t>Aprobado</t>
        </is>
      </c>
    </row>
    <row r="7">
      <c r="A7" s="14" t="inlineStr">
        <is>
          <t>PU-04</t>
        </is>
      </c>
      <c r="B7" s="15" t="inlineStr">
        <is>
          <t>Cálculo de nómina</t>
        </is>
      </c>
      <c r="C7" s="15" t="inlineStr">
        <is>
          <t>Identidad del total a pagar</t>
        </is>
      </c>
      <c r="D7" s="15" t="inlineStr">
        <is>
          <t>5 salarios distintos con bonificación y horas extra</t>
        </is>
      </c>
      <c r="E7" s="15" t="inlineStr">
        <is>
          <t>total_pagar = salario + bonificación + horas extra − deducciones en todos los casos</t>
        </is>
      </c>
      <c r="F7" s="15" t="inlineStr">
        <is>
          <t>test_total_pagar_cumple_identidad_para_cinco_salarios</t>
        </is>
      </c>
      <c r="G7" s="14" t="inlineStr">
        <is>
          <t>Aprobado</t>
        </is>
      </c>
    </row>
    <row r="8">
      <c r="A8" s="4" t="inlineStr">
        <is>
          <t>PU-05</t>
        </is>
      </c>
      <c r="B8" s="5" t="inlineStr">
        <is>
          <t>Cálculo de nómina</t>
        </is>
      </c>
      <c r="C8" s="5" t="inlineStr">
        <is>
          <t>Bonificación = porcentaje × meta</t>
        </is>
      </c>
      <c r="D8" s="5" t="inlineStr">
        <is>
          <t>Porcentaje 10, meta 500.000; empleado sin configuración</t>
        </is>
      </c>
      <c r="E8" s="5" t="inlineStr">
        <is>
          <t>Bonificación $50.000; sin configuración = $0</t>
        </is>
      </c>
      <c r="F8" s="5" t="inlineStr">
        <is>
          <t>test_bonificacion_porcentaje_de_meta_y_redondeo, test_sin_configuracion_bonificacion_es_cero</t>
        </is>
      </c>
      <c r="G8" s="4" t="inlineStr">
        <is>
          <t>Aprobado</t>
        </is>
      </c>
    </row>
    <row r="9">
      <c r="A9" s="14" t="inlineStr">
        <is>
          <t>PU-06</t>
        </is>
      </c>
      <c r="B9" s="15" t="inlineStr">
        <is>
          <t>Cálculo de nómina</t>
        </is>
      </c>
      <c r="C9" s="15" t="inlineStr">
        <is>
          <t>Solo suma horas extra del período</t>
        </is>
      </c>
      <c r="D9" s="15" t="inlineStr">
        <is>
          <t>Horas extra en el período y en otro mes</t>
        </is>
      </c>
      <c r="E9" s="15" t="inlineStr">
        <is>
          <t>Solo se suman las del período calculado</t>
        </is>
      </c>
      <c r="F9" s="15" t="inlineStr">
        <is>
          <t>test_bono_y_extras_del_periodo_sin_afectar_deducciones</t>
        </is>
      </c>
      <c r="G9" s="14" t="inlineStr">
        <is>
          <t>Aprobado</t>
        </is>
      </c>
    </row>
    <row r="10">
      <c r="A10" s="4" t="inlineStr">
        <is>
          <t>PU-07</t>
        </is>
      </c>
      <c r="B10" s="5" t="inlineStr">
        <is>
          <t>Horas extra</t>
        </is>
      </c>
      <c r="C10" s="5" t="inlineStr">
        <is>
          <t>Jornada de 8,4 h o menos no genera extras</t>
        </is>
      </c>
      <c r="D10" s="5" t="inlineStr">
        <is>
          <t>Ingreso 08:00, salida 16:24</t>
        </is>
      </c>
      <c r="E10" s="5" t="inlineStr">
        <is>
          <t>No se crea registro (devuelve None)</t>
        </is>
      </c>
      <c r="F10" s="5" t="inlineStr">
        <is>
          <t>test_jornada_hasta_8_4_no_crea_registro</t>
        </is>
      </c>
      <c r="G10" s="4" t="inlineStr">
        <is>
          <t>Aprobado</t>
        </is>
      </c>
    </row>
    <row r="11">
      <c r="A11" s="14" t="inlineStr">
        <is>
          <t>PU-08</t>
        </is>
      </c>
      <c r="B11" s="15" t="inlineStr">
        <is>
          <t>Horas extra</t>
        </is>
      </c>
      <c r="C11" s="15" t="inlineStr">
        <is>
          <t>Hora extra diurna</t>
        </is>
      </c>
      <c r="D11" s="15" t="inlineStr">
        <is>
          <t>Ingreso 08:00, salida 18:00, salario conocido</t>
        </is>
      </c>
      <c r="E11" s="15" t="inlineStr">
        <is>
          <t>Tipo DIURNA, 1,6 h, valor = 1,6 × salario × 0,6%, período AAAA-MM</t>
        </is>
      </c>
      <c r="F11" s="15" t="inlineStr">
        <is>
          <t>test_calcula_extra_diurna_y_periodo</t>
        </is>
      </c>
      <c r="G11" s="14" t="inlineStr">
        <is>
          <t>Aprobado</t>
        </is>
      </c>
    </row>
    <row r="12">
      <c r="A12" s="4" t="inlineStr">
        <is>
          <t>PU-09</t>
        </is>
      </c>
      <c r="B12" s="5" t="inlineStr">
        <is>
          <t>Horas extra</t>
        </is>
      </c>
      <c r="C12" s="5" t="inlineStr">
        <is>
          <t>Hora extra nocturna</t>
        </is>
      </c>
      <c r="D12" s="5" t="inlineStr">
        <is>
          <t>Salida 21:00</t>
        </is>
      </c>
      <c r="E12" s="5" t="inlineStr">
        <is>
          <t>Tipo NOCTURNA con recargo de 0,8%</t>
        </is>
      </c>
      <c r="F12" s="5" t="inlineStr">
        <is>
          <t>test_calcula_extra_nocturna</t>
        </is>
      </c>
      <c r="G12" s="4" t="inlineStr">
        <is>
          <t>Aprobado</t>
        </is>
      </c>
    </row>
    <row r="13">
      <c r="A13" s="14" t="inlineStr">
        <is>
          <t>PU-10</t>
        </is>
      </c>
      <c r="B13" s="15" t="inlineStr">
        <is>
          <t>Horas extra</t>
        </is>
      </c>
      <c r="C13" s="15" t="inlineStr">
        <is>
          <t>Salida igual al ingreso</t>
        </is>
      </c>
      <c r="D13" s="15" t="inlineStr">
        <is>
          <t>Ingreso 08:00, salida 08:00</t>
        </is>
      </c>
      <c r="E13" s="15" t="inlineStr">
        <is>
          <t>HoraExtraInvalidaError: "La hora de salida debe ser posterior a la hora de ingreso."</t>
        </is>
      </c>
      <c r="F13" s="15" t="inlineStr">
        <is>
          <t>test_salida_igual_ingreso_tiene_mensaje. Excepción propia del dominio.</t>
        </is>
      </c>
      <c r="G13" s="14" t="inlineStr">
        <is>
          <t>Aprobado</t>
        </is>
      </c>
    </row>
    <row r="14">
      <c r="A14" s="4" t="inlineStr">
        <is>
          <t>PU-11</t>
        </is>
      </c>
      <c r="B14" s="5" t="inlineStr">
        <is>
          <t>Pre-nómina</t>
        </is>
      </c>
      <c r="C14" s="5" t="inlineStr">
        <is>
          <t>Calcular genera pre-nómina pendiente</t>
        </is>
      </c>
      <c r="D14" s="5" t="inlineStr">
        <is>
          <t>Gerente calcula un período</t>
        </is>
      </c>
      <c r="E14" s="5" t="inlineStr">
        <is>
          <t>Nóminas en estado PENDIENTE y una solicitud "Pre-nómina" para el Auxiliar</t>
        </is>
      </c>
      <c r="F14" s="5" t="inlineStr">
        <is>
          <t>test_generar_crea_nominas_y_una_solicitud_pendientes, test_generar_asocia_todas_las_nominas_a_solicitud_devuelta</t>
        </is>
      </c>
      <c r="G14" s="4" t="inlineStr">
        <is>
          <t>Aprobado</t>
        </is>
      </c>
    </row>
    <row r="15">
      <c r="A15" s="14" t="inlineStr">
        <is>
          <t>PU-12</t>
        </is>
      </c>
      <c r="B15" s="15" t="inlineStr">
        <is>
          <t>Pre-nómina</t>
        </is>
      </c>
      <c r="C15" s="15" t="inlineStr">
        <is>
          <t>La nómina se calcula una sola vez</t>
        </is>
      </c>
      <c r="D15" s="15" t="inlineStr">
        <is>
          <t>Calcular dos veces el mismo período</t>
        </is>
      </c>
      <c r="E15" s="15" t="inlineStr">
        <is>
          <t>NominaYaCalculadaError con el período en el mensaje</t>
        </is>
      </c>
      <c r="F15" s="15" t="inlineStr">
        <is>
          <t>test_generar_dos_veces_informa_que_ya_fue_calculada</t>
        </is>
      </c>
      <c r="G15" s="14" t="inlineStr">
        <is>
          <t>Aprobado</t>
        </is>
      </c>
    </row>
    <row r="16">
      <c r="A16" s="4" t="inlineStr">
        <is>
          <t>PU-13</t>
        </is>
      </c>
      <c r="B16" s="5" t="inlineStr">
        <is>
          <t>Pre-nómina</t>
        </is>
      </c>
      <c r="C16" s="5" t="inlineStr">
        <is>
          <t>Aceptación actualiza nóminas y último pago</t>
        </is>
      </c>
      <c r="D16" s="5" t="inlineStr">
        <is>
          <t>Auxiliar acepta la pre-nómina</t>
        </is>
      </c>
      <c r="E16" s="5" t="inlineStr">
        <is>
          <t>Nóminas ACEPTADA, revisada_por y fecha_revision, último pago del empleado, aparece en reportes</t>
        </is>
      </c>
      <c r="F16" s="5" t="inlineStr">
        <is>
          <t>test_aceptar_actualiza_nominas_usuarios_y_reporte, test_aceptar_solo_cambia_nominas_de_su_solicitud</t>
        </is>
      </c>
      <c r="G16" s="4" t="inlineStr">
        <is>
          <t>Aprobado</t>
        </is>
      </c>
    </row>
    <row r="17">
      <c r="A17" s="14" t="inlineStr">
        <is>
          <t>PU-14</t>
        </is>
      </c>
      <c r="B17" s="15" t="inlineStr">
        <is>
          <t>Pre-nómina</t>
        </is>
      </c>
      <c r="C17" s="15" t="inlineStr">
        <is>
          <t>El último pago se actualiza una única vez</t>
        </is>
      </c>
      <c r="D17" s="15" t="inlineStr">
        <is>
          <t>Aceptar dos veces la misma solicitud</t>
        </is>
      </c>
      <c r="E17" s="15" t="inlineStr">
        <is>
          <t>PreNominaNoPendienteError; el último pago no se sobrescribe</t>
        </is>
      </c>
      <c r="F17" s="15" t="inlineStr">
        <is>
          <t>test_aceptar_dos_veces_no_sobrescribe_ultimo_pago</t>
        </is>
      </c>
      <c r="G17" s="14" t="inlineStr">
        <is>
          <t>Aprobado</t>
        </is>
      </c>
    </row>
    <row r="18">
      <c r="A18" s="4" t="inlineStr">
        <is>
          <t>PU-15</t>
        </is>
      </c>
      <c r="B18" s="5" t="inlineStr">
        <is>
          <t>Pre-nómina</t>
        </is>
      </c>
      <c r="C18" s="5" t="inlineStr">
        <is>
          <t>Rechazo exige motivo</t>
        </is>
      </c>
      <c r="D18" s="5" t="inlineStr">
        <is>
          <t>Rechazar con motivo vacío</t>
        </is>
      </c>
      <c r="E18" s="5" t="inlineStr">
        <is>
          <t>MotivoRechazoRequeridoError; la pre-nómina sigue PENDIENTE</t>
        </is>
      </c>
      <c r="F18" s="5" t="inlineStr">
        <is>
          <t>test_rechazar_sin_motivo_no_cambia_estado</t>
        </is>
      </c>
      <c r="G18" s="4" t="inlineStr">
        <is>
          <t>Aprobado</t>
        </is>
      </c>
    </row>
    <row r="19">
      <c r="A19" s="14" t="inlineStr">
        <is>
          <t>PU-16</t>
        </is>
      </c>
      <c r="B19" s="15" t="inlineStr">
        <is>
          <t>Pre-nómina</t>
        </is>
      </c>
      <c r="C19" s="15" t="inlineStr">
        <is>
          <t>Rechazar permite recalcular</t>
        </is>
      </c>
      <c r="D19" s="15" t="inlineStr">
        <is>
          <t>Rechazar con motivo y volver a calcular</t>
        </is>
      </c>
      <c r="E19" s="15" t="inlineStr">
        <is>
          <t>Nóminas RECHAZADA reemplazadas por un lote nuevo PENDIENTE</t>
        </is>
      </c>
      <c r="F19" s="15" t="inlineStr">
        <is>
          <t>test_rechazar_y_generar_de_nuevo</t>
        </is>
      </c>
      <c r="G19" s="14" t="inlineStr">
        <is>
          <t>Aprobado</t>
        </is>
      </c>
    </row>
    <row r="20">
      <c r="A20" s="4" t="inlineStr">
        <is>
          <t>PU-17</t>
        </is>
      </c>
      <c r="B20" s="5" t="inlineStr">
        <is>
          <t>Pre-nómina</t>
        </is>
      </c>
      <c r="C20" s="5" t="inlineStr">
        <is>
          <t>Sin empleados activos</t>
        </is>
      </c>
      <c r="D20" s="5" t="inlineStr">
        <is>
          <t>Ningún usuario activo</t>
        </is>
      </c>
      <c r="E20" s="5" t="inlineStr">
        <is>
          <t>SinEmpleadosActivosError</t>
        </is>
      </c>
      <c r="F20" s="5" t="inlineStr">
        <is>
          <t>test_sin_empleados_activos</t>
        </is>
      </c>
      <c r="G20" s="4" t="inlineStr">
        <is>
          <t>Aprobado</t>
        </is>
      </c>
    </row>
    <row r="21">
      <c r="A21" s="14" t="inlineStr">
        <is>
          <t>PU-18</t>
        </is>
      </c>
      <c r="B21" s="15" t="inlineStr">
        <is>
          <t>Pre-nómina</t>
        </is>
      </c>
      <c r="C21" s="15" t="inlineStr">
        <is>
          <t>Mensajes de las excepciones propias</t>
        </is>
      </c>
      <c r="D21" s="15" t="inlineStr">
        <is>
          <t>Instanciar cada excepción con datos</t>
        </is>
      </c>
      <c r="E21" s="15" t="inlineStr">
        <is>
          <t>str(e) devuelve el mensaje en español con los datos interpolados</t>
        </is>
      </c>
      <c r="F21" s="15" t="inlineStr">
        <is>
          <t>test_excepciones_interpolan_datos_en_su_mensaje</t>
        </is>
      </c>
      <c r="G21" s="14" t="inlineStr">
        <is>
          <t>Aprobado</t>
        </is>
      </c>
    </row>
    <row r="22">
      <c r="A22" s="4" t="inlineStr">
        <is>
          <t>PU-19</t>
        </is>
      </c>
      <c r="B22" s="5" t="inlineStr">
        <is>
          <t>Reportes</t>
        </is>
      </c>
      <c r="C22" s="5" t="inlineStr">
        <is>
          <t>El resumen mensual suma solo nóminas aceptadas</t>
        </is>
      </c>
      <c r="D22" s="5" t="inlineStr">
        <is>
          <t>Nóminas aceptadas, pendiente, rechazada y de otro mes</t>
        </is>
      </c>
      <c r="E22" s="5" t="inlineStr">
        <is>
          <t>Totales (pagado, salud, pensión, empleados) solo de las aceptadas del período</t>
        </is>
      </c>
      <c r="F22" s="5" t="inlineStr">
        <is>
          <t>test_suma_solo_nominas_aceptadas_del_periodo</t>
        </is>
      </c>
      <c r="G22" s="4" t="inlineStr">
        <is>
          <t>Aprobado</t>
        </is>
      </c>
    </row>
    <row r="23">
      <c r="A23" s="14" t="inlineStr">
        <is>
          <t>PU-20</t>
        </is>
      </c>
      <c r="B23" s="15" t="inlineStr">
        <is>
          <t>Reportes</t>
        </is>
      </c>
      <c r="C23" s="15" t="inlineStr">
        <is>
          <t>Mes sin datos</t>
        </is>
      </c>
      <c r="D23" s="15" t="inlineStr">
        <is>
          <t>Período sin nóminas aceptadas</t>
        </is>
      </c>
      <c r="E23" s="15" t="inlineStr">
        <is>
          <t>Todos los totales en $0 y porcentajes en 0</t>
        </is>
      </c>
      <c r="F23" s="15" t="inlineStr">
        <is>
          <t>test_mes_sin_datos_devuelve_ceros</t>
        </is>
      </c>
      <c r="G23" s="14" t="inlineStr">
        <is>
          <t>Aprobado</t>
        </is>
      </c>
    </row>
    <row r="24">
      <c r="A24" s="4" t="inlineStr">
        <is>
          <t>PU-21</t>
        </is>
      </c>
      <c r="B24" s="5" t="inlineStr">
        <is>
          <t>Reportes</t>
        </is>
      </c>
      <c r="C24" s="5" t="inlineStr">
        <is>
          <t>Formato de moneda</t>
        </is>
      </c>
      <c r="D24" s="5" t="inlineStr">
        <is>
          <t>1234567, Decimal("1500.50"), 0, None, −1234, "abc"</t>
        </is>
      </c>
      <c r="E24" s="5" t="inlineStr">
        <is>
          <t>$1.234.567, $1.501, $0, $0, −$1.234, $0</t>
        </is>
      </c>
      <c r="F24" s="5" t="inlineStr">
        <is>
          <t>test_formatea_moneda, test_valores_redondeados_y_entradas_invalidas</t>
        </is>
      </c>
      <c r="G24" s="4" t="inlineStr">
        <is>
          <t>Aprobado</t>
        </is>
      </c>
    </row>
    <row r="25">
      <c r="A25" s="14" t="inlineStr">
        <is>
          <t>PU-22</t>
        </is>
      </c>
      <c r="B25" s="15" t="inlineStr">
        <is>
          <t>Reportes</t>
        </is>
      </c>
      <c r="C25" s="15" t="inlineStr">
        <is>
          <t>Nombre del período en español</t>
        </is>
      </c>
      <c r="D25" s="15" t="inlineStr">
        <is>
          <t>Los 12 meses, ej. 2026-09</t>
        </is>
      </c>
      <c r="E25" s="15" t="inlineStr">
        <is>
          <t>"Septiembre 2026"</t>
        </is>
      </c>
      <c r="F25" s="15" t="inlineStr">
        <is>
          <t>test_nombre_de_los_doce_meses</t>
        </is>
      </c>
      <c r="G25" s="14" t="inlineStr">
        <is>
          <t>Aprobado</t>
        </is>
      </c>
    </row>
    <row r="26">
      <c r="A26" s="4" t="inlineStr">
        <is>
          <t>PU-23</t>
        </is>
      </c>
      <c r="B26" s="5" t="inlineStr">
        <is>
          <t>Reportes</t>
        </is>
      </c>
      <c r="C26" s="5" t="inlineStr">
        <is>
          <t>Generación del PDF</t>
        </is>
      </c>
      <c r="D26" s="5" t="inlineStr">
        <is>
          <t>Resumen con 0 y con 40 nóminas</t>
        </is>
      </c>
      <c r="E26" s="5" t="inlineStr">
        <is>
          <t>Bytes que inician con %PDF; el de 40 tiene más de una página</t>
        </is>
      </c>
      <c r="F26" s="5" t="inlineStr">
        <is>
          <t>test_pdf_vacio_y_con_cuarenta_nominas</t>
        </is>
      </c>
      <c r="G26" s="4" t="inlineStr">
        <is>
          <t>Aprobado</t>
        </is>
      </c>
    </row>
    <row r="27">
      <c r="A27" s="14" t="inlineStr">
        <is>
          <t>PU-24</t>
        </is>
      </c>
      <c r="B27" s="15" t="inlineStr">
        <is>
          <t>Reportes</t>
        </is>
      </c>
      <c r="C27" s="15" t="inlineStr">
        <is>
          <t>Validación del filtro de período</t>
        </is>
      </c>
      <c r="D27" s="15" t="inlineStr">
        <is>
          <t>"", "2026/09", "2026-13", "2019-12", mes futuro</t>
        </is>
      </c>
      <c r="E27" s="15" t="inlineStr">
        <is>
          <t>Un mensaje específico por cada caso; "2026-09" válido</t>
        </is>
      </c>
      <c r="F27" s="15" t="inlineStr">
        <is>
          <t>test_mensajes_de_validacion, test_periodo_valido_y_periodo_futuro</t>
        </is>
      </c>
      <c r="G27" s="14" t="inlineStr">
        <is>
          <t>Aprobado</t>
        </is>
      </c>
    </row>
    <row r="28">
      <c r="A28" s="4" t="inlineStr">
        <is>
          <t>PU-25</t>
        </is>
      </c>
      <c r="B28" s="5" t="inlineStr">
        <is>
          <t>Validaciones compartidas</t>
        </is>
      </c>
      <c r="C28" s="5" t="inlineStr">
        <is>
          <t>Solo letras</t>
        </is>
      </c>
      <c r="D28" s="5" t="inlineStr">
        <is>
          <t>José Peña, "Ana 3", "@"</t>
        </is>
      </c>
      <c r="E28" s="5" t="inlineStr">
        <is>
          <t>Acepta letras con tilde y ñ; rechaza dígitos y símbolos</t>
        </is>
      </c>
      <c r="F28" s="5" t="inlineStr">
        <is>
          <t>test_solo_letras_acepta_tildes_ene_y_rechaza_digitos</t>
        </is>
      </c>
      <c r="G28" s="4" t="inlineStr">
        <is>
          <t>Aprobado</t>
        </is>
      </c>
    </row>
    <row r="29">
      <c r="A29" s="14" t="inlineStr">
        <is>
          <t>PU-26</t>
        </is>
      </c>
      <c r="B29" s="15" t="inlineStr">
        <is>
          <t>Validaciones compartidas</t>
        </is>
      </c>
      <c r="C29" s="15" t="inlineStr">
        <is>
          <t>Nombre de usuario</t>
        </is>
      </c>
      <c r="D29" s="15" t="inlineStr">
        <is>
          <t>"juan.p_1", "juan p", "josé"</t>
        </is>
      </c>
      <c r="E29" s="15" t="inlineStr">
        <is>
          <t>Acepta letras sin tilde, números, punto, guion y guion bajo</t>
        </is>
      </c>
      <c r="F29" s="15" t="inlineStr">
        <is>
          <t>test_usuario_acepta_formato_y_rechaza_espacios_y_tildes</t>
        </is>
      </c>
      <c r="G29" s="14" t="inlineStr">
        <is>
          <t>Aprobado</t>
        </is>
      </c>
    </row>
    <row r="30">
      <c r="A30" s="4" t="inlineStr">
        <is>
          <t>PU-27</t>
        </is>
      </c>
      <c r="B30" s="5" t="inlineStr">
        <is>
          <t>Validaciones compartidas</t>
        </is>
      </c>
      <c r="C30" s="5" t="inlineStr">
        <is>
          <t>Texto seguro</t>
        </is>
      </c>
      <c r="D30" s="5" t="inlineStr">
        <is>
          <t>"¿Pago: 100? Sí, #1 (bodega).", "&lt;script&gt;", "Valor $100"</t>
        </is>
      </c>
      <c r="E30" s="5" t="inlineStr">
        <is>
          <t>Acepta puntuación básica; rechaza &lt; &gt; $ y similares</t>
        </is>
      </c>
      <c r="F30" s="5" t="inlineStr">
        <is>
          <t>test_texto_seguro_acepta_signos_permitidos_y_rechaza_caracteres</t>
        </is>
      </c>
      <c r="G30" s="4" t="inlineStr">
        <is>
          <t>Aprobado</t>
        </is>
      </c>
    </row>
    <row r="31">
      <c r="A31" s="14" t="inlineStr">
        <is>
          <t>PU-28</t>
        </is>
      </c>
      <c r="B31" s="15" t="inlineStr">
        <is>
          <t>Validaciones compartidas</t>
        </is>
      </c>
      <c r="C31" s="15" t="inlineStr">
        <is>
          <t>Dígitos, fechas y espacios</t>
        </is>
      </c>
      <c r="D31" s="15" t="inlineStr">
        <is>
          <t>"12a", fecha de mañana, "  Ana   María  "</t>
        </is>
      </c>
      <c r="E31" s="15" t="inlineStr">
        <is>
          <t>Rechaza letras y fechas futuras; normaliza a "Ana María"</t>
        </is>
      </c>
      <c r="F31" s="15" t="inlineStr">
        <is>
          <t>test_digitos_y_fecha_no_futura, test_normaliza_espacios_dobles</t>
        </is>
      </c>
      <c r="G31" s="14" t="inlineStr">
        <is>
          <t>Aprobado</t>
        </is>
      </c>
    </row>
    <row r="32">
      <c r="A32" s="4" t="inlineStr">
        <is>
          <t>PU-29</t>
        </is>
      </c>
      <c r="B32" s="5" t="inlineStr">
        <is>
          <t>Usuarios</t>
        </is>
      </c>
      <c r="C32" s="5" t="inlineStr">
        <is>
          <t>Nombre de usuario</t>
        </is>
      </c>
      <c r="D32" s="5" t="inlineStr">
        <is>
          <t>Con espacio, con tilde, de 3 caracteres, duplicado con otras mayúsculas</t>
        </is>
      </c>
      <c r="E32" s="5" t="inlineStr">
        <is>
          <t>Mensaje específico para cada caso</t>
        </is>
      </c>
      <c r="F32" s="5" t="inlineStr">
        <is>
          <t>test_username_invalido_longitud_y_duplicado</t>
        </is>
      </c>
      <c r="G32" s="4" t="inlineStr">
        <is>
          <t>Aprobado</t>
        </is>
      </c>
    </row>
    <row r="33">
      <c r="A33" s="14" t="inlineStr">
        <is>
          <t>PU-30</t>
        </is>
      </c>
      <c r="B33" s="15" t="inlineStr">
        <is>
          <t>Usuarios</t>
        </is>
      </c>
      <c r="C33" s="15" t="inlineStr">
        <is>
          <t>Nombres y apellidos</t>
        </is>
      </c>
      <c r="D33" s="15" t="inlineStr">
        <is>
          <t>Nombre "Ana3"</t>
        </is>
      </c>
      <c r="E33" s="15" t="inlineStr">
        <is>
          <t>"El campo nombres solo puede contener letras y espacios."</t>
        </is>
      </c>
      <c r="F33" s="15" t="inlineStr">
        <is>
          <t>test_nombres_solo_letras</t>
        </is>
      </c>
      <c r="G33" s="14" t="inlineStr">
        <is>
          <t>Aprobado</t>
        </is>
      </c>
    </row>
    <row r="34">
      <c r="A34" s="4" t="inlineStr">
        <is>
          <t>PU-31</t>
        </is>
      </c>
      <c r="B34" s="5" t="inlineStr">
        <is>
          <t>Usuarios</t>
        </is>
      </c>
      <c r="C34" s="5" t="inlineStr">
        <is>
          <t>Correo electrónico</t>
        </is>
      </c>
      <c r="D34" s="5" t="inlineStr">
        <is>
          <t>Correo mal formado y correo duplicado</t>
        </is>
      </c>
      <c r="E34" s="5" t="inlineStr">
        <is>
          <t>Mensajes de formato y de correo existente</t>
        </is>
      </c>
      <c r="F34" s="5" t="inlineStr">
        <is>
          <t>test_email_formato_y_unicidad</t>
        </is>
      </c>
      <c r="G34" s="4" t="inlineStr">
        <is>
          <t>Aprobado</t>
        </is>
      </c>
    </row>
    <row r="35">
      <c r="A35" s="14" t="inlineStr">
        <is>
          <t>PU-32</t>
        </is>
      </c>
      <c r="B35" s="15" t="inlineStr">
        <is>
          <t>Usuarios</t>
        </is>
      </c>
      <c r="C35" s="15" t="inlineStr">
        <is>
          <t>Identificación</t>
        </is>
      </c>
      <c r="D35" s="15" t="inlineStr">
        <is>
          <t>Con letras, 4 dígitos, empieza en 0, duplicada, 12 dígitos</t>
        </is>
      </c>
      <c r="E35" s="15" t="inlineStr">
        <is>
          <t>Mensaje específico en cada error; 12 dígitos se guarda correctamente</t>
        </is>
      </c>
      <c r="F35" s="15" t="inlineStr">
        <is>
          <t>test_identificacion_reglas, test_creacion_guarda_identificacion_de_12_digitos. Se corrigió el tipo de campo a BigInteger.</t>
        </is>
      </c>
      <c r="G35" s="14" t="inlineStr">
        <is>
          <t>Aprobado</t>
        </is>
      </c>
    </row>
    <row r="36">
      <c r="A36" s="4" t="inlineStr">
        <is>
          <t>PU-33</t>
        </is>
      </c>
      <c r="B36" s="5" t="inlineStr">
        <is>
          <t>Usuarios</t>
        </is>
      </c>
      <c r="C36" s="5" t="inlineStr">
        <is>
          <t>Fecha de ingreso</t>
        </is>
      </c>
      <c r="D36" s="5" t="inlineStr">
        <is>
          <t>Fecha futura y fecha de 1949</t>
        </is>
      </c>
      <c r="E36" s="5" t="inlineStr">
        <is>
          <t>No puede ser futura ni anterior a 1950</t>
        </is>
      </c>
      <c r="F36" s="5" t="inlineStr">
        <is>
          <t>test_fecha_ingreso_rangos</t>
        </is>
      </c>
      <c r="G36" s="4" t="inlineStr">
        <is>
          <t>Aprobado</t>
        </is>
      </c>
    </row>
    <row r="37">
      <c r="A37" s="14" t="inlineStr">
        <is>
          <t>PU-34</t>
        </is>
      </c>
      <c r="B37" s="15" t="inlineStr">
        <is>
          <t>Usuarios</t>
        </is>
      </c>
      <c r="C37" s="15" t="inlineStr">
        <is>
          <t>Salario base</t>
        </is>
      </c>
      <c r="D37" s="15" t="inlineStr">
        <is>
          <t>0, −1, 1.000.000.000, 3 decimales, "1500000,50"</t>
        </is>
      </c>
      <c r="E37" s="15" t="inlineStr">
        <is>
          <t>Rechaza cada inválido con su mensaje; acepta coma decimal</t>
        </is>
      </c>
      <c r="F37" s="15" t="inlineStr">
        <is>
          <t>test_salario_rangos_y_decimales</t>
        </is>
      </c>
      <c r="G37" s="14" t="inlineStr">
        <is>
          <t>Aprobado</t>
        </is>
      </c>
    </row>
    <row r="38">
      <c r="A38" s="4" t="inlineStr">
        <is>
          <t>PU-35</t>
        </is>
      </c>
      <c r="B38" s="5" t="inlineStr">
        <is>
          <t>Usuarios</t>
        </is>
      </c>
      <c r="C38" s="5" t="inlineStr">
        <is>
          <t>Rol obligatorio y único</t>
        </is>
      </c>
      <c r="D38" s="5" t="inlineStr">
        <is>
          <t>Sin rol y con dos roles</t>
        </is>
      </c>
      <c r="E38" s="5" t="inlineStr">
        <is>
          <t>"Selecciona el rol del usuario." / "Un usuario solo puede tener un rol."</t>
        </is>
      </c>
      <c r="F38" s="5" t="inlineStr">
        <is>
          <t>test_roles_obligatorio_y_unico</t>
        </is>
      </c>
      <c r="G38" s="4" t="inlineStr">
        <is>
          <t>Aprobado</t>
        </is>
      </c>
    </row>
    <row r="39">
      <c r="A39" s="14" t="inlineStr">
        <is>
          <t>PU-36</t>
        </is>
      </c>
      <c r="B39" s="15" t="inlineStr">
        <is>
          <t>Usuarios</t>
        </is>
      </c>
      <c r="C39" s="15" t="inlineStr">
        <is>
          <t>Complejidad de contraseña</t>
        </is>
      </c>
      <c r="D39" s="15" t="inlineStr">
        <is>
          <t>Contraseñas sin número y sin carácter especial; "Clave#2026"</t>
        </is>
      </c>
      <c r="E39" s="15" t="inlineStr">
        <is>
          <t>Rechaza con mensaje específico; acepta la válida</t>
        </is>
      </c>
      <c r="F39" s="15" t="inlineStr">
        <is>
          <t>test_complejidad_contrasena, test_requiere_numero_y_caracter_especial, test_contrasena_valida_y_ayuda</t>
        </is>
      </c>
      <c r="G39" s="14" t="inlineStr">
        <is>
          <t>Aprobado</t>
        </is>
      </c>
    </row>
    <row r="40">
      <c r="A40" s="4" t="inlineStr">
        <is>
          <t>PU-37</t>
        </is>
      </c>
      <c r="B40" s="5" t="inlineStr">
        <is>
          <t>Usuarios</t>
        </is>
      </c>
      <c r="C40" s="5" t="inlineStr">
        <is>
          <t>Restricción en base de datos</t>
        </is>
      </c>
      <c r="D40" s="5" t="inlineStr">
        <is>
          <t>Crear usuario con salario negativo por ORM</t>
        </is>
      </c>
      <c r="E40" s="5" t="inlineStr">
        <is>
          <t>IntegrityError (no se guarda)</t>
        </is>
      </c>
      <c r="F40" s="5" t="inlineStr">
        <is>
          <t>test_constraint_impide_salario_negativo_por_orm</t>
        </is>
      </c>
      <c r="G40" s="4" t="inlineStr">
        <is>
          <t>Aprobado</t>
        </is>
      </c>
    </row>
    <row r="41">
      <c r="A41" s="14" t="inlineStr">
        <is>
          <t>PU-38</t>
        </is>
      </c>
      <c r="B41" s="15" t="inlineStr">
        <is>
          <t>Roles</t>
        </is>
      </c>
      <c r="C41" s="15" t="inlineStr">
        <is>
          <t>Nombre del rol</t>
        </is>
      </c>
      <c r="D41" s="15" t="inlineStr">
        <is>
          <t>Nombre con números y nombre duplicado</t>
        </is>
      </c>
      <c r="E41" s="15" t="inlineStr">
        <is>
          <t>Mensajes específicos</t>
        </is>
      </c>
      <c r="F41" s="15" t="inlineStr">
        <is>
          <t>test_rol_reglas</t>
        </is>
      </c>
      <c r="G41" s="14" t="inlineStr">
        <is>
          <t>Aprobado</t>
        </is>
      </c>
    </row>
    <row r="42">
      <c r="A42" s="4" t="inlineStr">
        <is>
          <t>PU-39</t>
        </is>
      </c>
      <c r="B42" s="5" t="inlineStr">
        <is>
          <t>Novedades</t>
        </is>
      </c>
      <c r="C42" s="5" t="inlineStr">
        <is>
          <t>Validación de horas extra</t>
        </is>
      </c>
      <c r="D42" s="5" t="inlineStr">
        <is>
          <t>Fecha futura, hace 61 días, salida ≤ ingreso, motivo corto o con "&lt;", duplicado</t>
        </is>
      </c>
      <c r="E42" s="5" t="inlineStr">
        <is>
          <t>Mensaje específico para cada error y no se guarda</t>
        </is>
      </c>
      <c r="F42" s="5" t="inlineStr">
        <is>
          <t>test_horas_extra_fecha_futura, _fecha_mayor_a_60_dias, _salida_no_posterior, _motivo_corto, _motivo_caracter_no_permitido, _duplicadas_mismo_dia</t>
        </is>
      </c>
      <c r="G42" s="4" t="inlineStr">
        <is>
          <t>Aprobado</t>
        </is>
      </c>
    </row>
    <row r="43">
      <c r="A43" s="14" t="inlineStr">
        <is>
          <t>PU-40</t>
        </is>
      </c>
      <c r="B43" s="15" t="inlineStr">
        <is>
          <t>Novedades</t>
        </is>
      </c>
      <c r="C43" s="15" t="inlineStr">
        <is>
          <t>Horas extra bloqueadas tras calcular</t>
        </is>
      </c>
      <c r="D43" s="15" t="inlineStr">
        <is>
          <t>Registrar hora extra de un mes con nómina calculada</t>
        </is>
      </c>
      <c r="E43" s="15" t="inlineStr">
        <is>
          <t>"La nómina de … ya fue calculada; no se pueden registrar más horas extra de ese mes."</t>
        </is>
      </c>
      <c r="F43" s="15" t="inlineStr">
        <is>
          <t>test_horas_extra_bloqueadas_por_nomina_calculada</t>
        </is>
      </c>
      <c r="G43" s="14" t="inlineStr">
        <is>
          <t>Aprobado</t>
        </is>
      </c>
    </row>
    <row r="44">
      <c r="A44" s="4" t="inlineStr">
        <is>
          <t>PU-41</t>
        </is>
      </c>
      <c r="B44" s="5" t="inlineStr">
        <is>
          <t>Novedades</t>
        </is>
      </c>
      <c r="C44" s="5" t="inlineStr">
        <is>
          <t>Validación de bonificación</t>
        </is>
      </c>
      <c r="D44" s="5" t="inlineStr">
        <is>
          <t>Porcentaje 0, 100,5, 3 decimales; meta 0 y meta excesiva; "12,5"</t>
        </is>
      </c>
      <c r="E44" s="5" t="inlineStr">
        <is>
          <t>Mensajes específicos; "12,5" se acepta</t>
        </is>
      </c>
      <c r="F44" s="5" t="inlineStr">
        <is>
          <t>test_bonificacion_porcentaje_cero, _superior_a_100, _tres_decimales, _meta_cero, _meta_excesiva, _porcentaje_con_coma_valido</t>
        </is>
      </c>
      <c r="G44" s="4" t="inlineStr">
        <is>
          <t>Aprobado</t>
        </is>
      </c>
    </row>
    <row r="45">
      <c r="A45" s="14" t="inlineStr">
        <is>
          <t>PU-42</t>
        </is>
      </c>
      <c r="B45" s="15" t="inlineStr">
        <is>
          <t>Novedades</t>
        </is>
      </c>
      <c r="C45" s="15" t="inlineStr">
        <is>
          <t>Restricciones en base de datos</t>
        </is>
      </c>
      <c r="D45" s="15" t="inlineStr">
        <is>
          <t>Porcentaje 150 y salida antes del ingreso por ORM</t>
        </is>
      </c>
      <c r="E45" s="15" t="inlineStr">
        <is>
          <t>IntegrityError en ambos casos</t>
        </is>
      </c>
      <c r="F45" s="15" t="inlineStr">
        <is>
          <t>test_constraint_bonificacion_porcentaje_150, test_constraint_hora_salida_antes_de_ingreso</t>
        </is>
      </c>
      <c r="G45" s="14" t="inlineStr">
        <is>
          <t>Aprobado</t>
        </is>
      </c>
    </row>
    <row r="46">
      <c r="A46" s="4" t="inlineStr">
        <is>
          <t>PU-43</t>
        </is>
      </c>
      <c r="B46" s="5" t="inlineStr">
        <is>
          <t>Solicitudes</t>
        </is>
      </c>
      <c r="C46" s="5" t="inlineStr">
        <is>
          <t>Validación de vacaciones</t>
        </is>
      </c>
      <c r="D46" s="5" t="inlineStr">
        <is>
          <t>Inicio ayer, fin antes del inicio, 31 días, traslape aceptada/pendiente</t>
        </is>
      </c>
      <c r="E46" s="5" t="inlineStr">
        <is>
          <t>Mensaje específico en cada caso; rango válido se crea</t>
        </is>
      </c>
      <c r="F46" s="5" t="inlineStr">
        <is>
          <t>test_vacaciones_inicio_ayer, _fin_antes_del_inicio, _31_dias, _traslape_aceptada_y_pendiente, _rango_valido_por_post</t>
        </is>
      </c>
      <c r="G46" s="4" t="inlineStr">
        <is>
          <t>Aprobado</t>
        </is>
      </c>
    </row>
    <row r="47">
      <c r="A47" s="14" t="inlineStr">
        <is>
          <t>PU-44</t>
        </is>
      </c>
      <c r="B47" s="15" t="inlineStr">
        <is>
          <t>Solicitudes</t>
        </is>
      </c>
      <c r="C47" s="15" t="inlineStr">
        <is>
          <t>Certificado laboral</t>
        </is>
      </c>
      <c r="D47" s="15" t="inlineStr">
        <is>
          <t>Motivo corto; POST manipulado con tipo=NOMINA</t>
        </is>
      </c>
      <c r="E47" s="15" t="inlineStr">
        <is>
          <t>Mensaje de motivo; siempre se crea tipo CERTIFICADO, nunca NOMINA</t>
        </is>
      </c>
      <c r="F47" s="15" t="inlineStr">
        <is>
          <t>test_certificado_motivo_corto, test_post_tipo_nomina_crea_solo_certificado. Se cerró una vulnerabilidad de manipulación del POST.</t>
        </is>
      </c>
      <c r="G47" s="14" t="inlineStr">
        <is>
          <t>Aprobado</t>
        </is>
      </c>
    </row>
    <row r="48">
      <c r="A48" s="4" t="inlineStr">
        <is>
          <t>PU-45</t>
        </is>
      </c>
      <c r="B48" s="5" t="inlineStr">
        <is>
          <t>Bandeja</t>
        </is>
      </c>
      <c r="C48" s="5" t="inlineStr">
        <is>
          <t>Motivo de rechazo y solicitud inválida</t>
        </is>
      </c>
      <c r="D48" s="5" t="inlineStr">
        <is>
          <t>Motivo "&lt;b&gt;malo&lt;/b&gt;"; solicitud_id="abc"</t>
        </is>
      </c>
      <c r="E48" s="5" t="inlineStr">
        <is>
          <t>No cambia el estado y muestra mensaje específico</t>
        </is>
      </c>
      <c r="F48" s="5" t="inlineStr">
        <is>
          <t>test_bandeja_rechazo_con_texto_no_permitido_no_cambia_estado, test_bandeja_rechaza_id_no_numerico</t>
        </is>
      </c>
      <c r="G48" s="4" t="inlineStr">
        <is>
          <t>Aprobado</t>
        </is>
      </c>
    </row>
    <row r="49">
      <c r="A49" s="14" t="inlineStr">
        <is>
          <t>PU-46</t>
        </is>
      </c>
      <c r="B49" s="15" t="inlineStr">
        <is>
          <t>Filtros</t>
        </is>
      </c>
      <c r="C49" s="15" t="inlineStr">
        <is>
          <t>Filtros sin error 500</t>
        </is>
      </c>
      <c r="D49" s="15" t="inlineStr">
        <is>
          <t>Auditoría fecha="xx"; historial desde &gt; hasta</t>
        </is>
      </c>
      <c r="E49" s="15" t="inlineStr">
        <is>
          <t>Respuesta 200 con mensaje claro</t>
        </is>
      </c>
      <c r="F49" s="15" t="inlineStr">
        <is>
          <t>test_fecha_invalida_muestra_error_y_responde_200, test_historial_fecha_desde_posterior. Antes generaban error 500.</t>
        </is>
      </c>
      <c r="G49" s="14" t="inlineStr">
        <is>
          <t>Aprobado</t>
        </is>
      </c>
    </row>
    <row r="50">
      <c r="A50" s="4" t="inlineStr">
        <is>
          <t>PU-47</t>
        </is>
      </c>
      <c r="B50" s="5" t="inlineStr">
        <is>
          <t>Carga (utilidad)</t>
        </is>
      </c>
      <c r="C50" s="5" t="inlineStr">
        <is>
          <t>Comando de datos de carga protegido</t>
        </is>
      </c>
      <c r="D50" s="5" t="inlineStr">
        <is>
          <t>Ejecutar sin --confirmar y sobre la base de pruebas</t>
        </is>
      </c>
      <c r="E50" s="5" t="inlineStr">
        <is>
          <t>CommandError: solo corre en bases terminadas en "carga"</t>
        </is>
      </c>
      <c r="F50" s="5" t="inlineStr">
        <is>
          <t>test_requiere_confirmacion, test_rechaza_base_de_pruebas</t>
        </is>
      </c>
      <c r="G50" s="4" t="inlineStr">
        <is>
          <t>Aprobado</t>
        </is>
      </c>
    </row>
    <row r="51">
      <c r="A51" s="14" t="inlineStr">
        <is>
          <t>PU-48</t>
        </is>
      </c>
      <c r="B51" s="15" t="inlineStr">
        <is>
          <t>Teclado (cliente)</t>
        </is>
      </c>
      <c r="C51" s="15" t="inlineStr">
        <is>
          <t>Bloqueo desde el teclado en navegador</t>
        </is>
      </c>
      <c r="D51" s="15" t="inlineStr">
        <is>
          <t>Escribir/pegar en campos numeros, decimal, letras, usuario y texto</t>
        </is>
      </c>
      <c r="E51" s="15" t="inlineStr">
        <is>
          <t>Bloquea caracteres no permitidos, un tercer decimal y &lt;script&gt; pegado; limpia valores por respaldo</t>
        </is>
      </c>
      <c r="F51" s="15" t="inlineStr">
        <is>
          <t>18 de 18 verificaciones en Microsoft Edge (arnés automatizado sobre css/validacion.js).</t>
        </is>
      </c>
      <c r="G51" s="14" t="inlineStr">
        <is>
          <t>Aprobado</t>
        </is>
      </c>
    </row>
  </sheetData>
  <autoFilter ref="A3:G51"/>
  <mergeCells count="1">
    <mergeCell ref="A1:G1"/>
  </mergeCells>
  <conditionalFormatting sqref="G4:G51">
    <cfRule type="cellIs" priority="1" operator="equal" dxfId="0">
      <formula>"Aprobado"</formula>
    </cfRule>
    <cfRule type="cellIs" priority="2" operator="equal" dxfId="1">
      <formula>"Aprobado con observación"</formula>
    </cfRule>
    <cfRule type="cellIs" priority="3" operator="equal" dxfId="2">
      <formula>"No cumple"</formula>
    </cfRule>
  </conditionalFormatting>
  <dataValidations count="1">
    <dataValidation sqref="G4:G51" showDropDown="0" showInputMessage="0" showErrorMessage="0" allowBlank="0" type="list">
      <formula1>"Aprobado,Aprobado con observación,No cumple,Pendiente"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42" customWidth="1" min="3" max="3"/>
    <col width="42" customWidth="1" min="4" max="4"/>
    <col width="46" customWidth="1" min="5" max="5"/>
    <col width="52" customWidth="1" min="6" max="6"/>
    <col width="16" customWidth="1" min="7" max="7"/>
  </cols>
  <sheetData>
    <row r="1">
      <c r="A1" s="13" t="inlineStr">
        <is>
          <t>Plan de pruebas — Integración</t>
        </is>
      </c>
    </row>
    <row r="3">
      <c r="A3" s="10" t="inlineStr">
        <is>
          <t>ID</t>
        </is>
      </c>
      <c r="B3" s="10" t="inlineStr">
        <is>
          <t>Módulo</t>
        </is>
      </c>
      <c r="C3" s="10" t="inlineStr">
        <is>
          <t>Descripción</t>
        </is>
      </c>
      <c r="D3" s="10" t="inlineStr">
        <is>
          <t>Entrada</t>
        </is>
      </c>
      <c r="E3" s="10" t="inlineStr">
        <is>
          <t>Resultado esperado</t>
        </is>
      </c>
      <c r="F3" s="10" t="inlineStr">
        <is>
          <t>Observación</t>
        </is>
      </c>
      <c r="G3" s="10" t="inlineStr">
        <is>
          <t>Estado</t>
        </is>
      </c>
    </row>
    <row r="4">
      <c r="A4" s="4" t="inlineStr">
        <is>
          <t>PI-01</t>
        </is>
      </c>
      <c r="B4" s="5" t="inlineStr">
        <is>
          <t>Flujo completo</t>
        </is>
      </c>
      <c r="C4" s="5" t="inlineStr">
        <is>
          <t>Ciclo novedades → pre-nómina → aprobación → reporte</t>
        </is>
      </c>
      <c r="D4" s="5" t="inlineStr">
        <is>
          <t>Gerente crea empleado, registra bonificación y horas extra, calcula; Auxiliar revisa y aprueba</t>
        </is>
      </c>
      <c r="E4" s="5" t="inlineStr">
        <is>
          <t>Antes de aprobar no aparece en reportes y el empleado ve "en revisión"; después aparece en reportes, PDF, consulta y perfil; salud y pensión = 4% del salario; auditoría de cada acción</t>
        </is>
      </c>
      <c r="F4" s="5" t="inlineStr">
        <is>
          <t>test_ciclo_completo_novedades_prenomina_aprobacion_reporte</t>
        </is>
      </c>
      <c r="G4" s="4" t="inlineStr">
        <is>
          <t>Aprobado</t>
        </is>
      </c>
    </row>
    <row r="5">
      <c r="A5" s="14" t="inlineStr">
        <is>
          <t>PI-02</t>
        </is>
      </c>
      <c r="B5" s="15" t="inlineStr">
        <is>
          <t>Flujo completo</t>
        </is>
      </c>
      <c r="C5" s="15" t="inlineStr">
        <is>
          <t>Rechazo y recálculo con novedad corregida</t>
        </is>
      </c>
      <c r="D5" s="15" t="inlineStr">
        <is>
          <t>Auxiliar rechaza sin motivo y luego con motivo; Gerente corrige la bonificación y recalcula</t>
        </is>
      </c>
      <c r="E5" s="15" t="inlineStr">
        <is>
          <t>Pide motivo; el Gerente ve el motivo; el nuevo cálculo refleja la corrección; la solicitud vieja indica que se reemplazó</t>
        </is>
      </c>
      <c r="F5" s="15" t="inlineStr">
        <is>
          <t>test_rechazo_y_recalculo_con_novedad_corregida. Un primer fallo era del test (sesión equivocada), no de la aplicación.</t>
        </is>
      </c>
      <c r="G5" s="14" t="inlineStr">
        <is>
          <t>Aprobado</t>
        </is>
      </c>
    </row>
    <row r="6">
      <c r="A6" s="4" t="inlineStr">
        <is>
          <t>PI-03</t>
        </is>
      </c>
      <c r="B6" s="5" t="inlineStr">
        <is>
          <t>Novedades + Pre-nómina</t>
        </is>
      </c>
      <c r="C6" s="5" t="inlineStr">
        <is>
          <t>Novedades bloqueadas después de calcular</t>
        </is>
      </c>
      <c r="D6" s="5" t="inlineStr">
        <is>
          <t>Registrar hora extra de un mes ya calculado</t>
        </is>
      </c>
      <c r="E6" s="5" t="inlineStr">
        <is>
          <t>Respuesta 200 con mensaje; no se crea el registro ni cambia la nómina</t>
        </is>
      </c>
      <c r="F6" s="5" t="inlineStr">
        <is>
          <t>test_novedades_bloqueadas_despues_de_calcular</t>
        </is>
      </c>
      <c r="G6" s="4" t="inlineStr">
        <is>
          <t>Aprobado</t>
        </is>
      </c>
    </row>
    <row r="7">
      <c r="A7" s="14" t="inlineStr">
        <is>
          <t>PI-04</t>
        </is>
      </c>
      <c r="B7" s="15" t="inlineStr">
        <is>
          <t>Seguridad</t>
        </is>
      </c>
      <c r="C7" s="15" t="inlineStr">
        <is>
          <t>Permisos por rol en módulos nuevos</t>
        </is>
      </c>
      <c r="D7" s="15" t="inlineStr">
        <is>
          <t>Rutas de reportes, PDF, novedades, cálculo, bandeja y detalle × 4 perfiles</t>
        </is>
      </c>
      <c r="E7" s="15" t="inlineStr">
        <is>
          <t>Reportes: Gerente y Auxiliar; novedades y cálculo: Gerente; bandeja y detalle: Auxiliar; anónimo → login</t>
        </is>
      </c>
      <c r="F7" s="15" t="inlineStr">
        <is>
          <t>test_permisos_por_rol_en_modulos_nuevos (24 combinaciones con subTest)</t>
        </is>
      </c>
      <c r="G7" s="14" t="inlineStr">
        <is>
          <t>Aprobado</t>
        </is>
      </c>
    </row>
    <row r="8">
      <c r="A8" s="4" t="inlineStr">
        <is>
          <t>PI-05</t>
        </is>
      </c>
      <c r="B8" s="5" t="inlineStr">
        <is>
          <t>Solicitudes + Pre-nómina</t>
        </is>
      </c>
      <c r="C8" s="5" t="inlineStr">
        <is>
          <t>Vacaciones y pre-nómina conviven en la bandeja</t>
        </is>
      </c>
      <c r="D8" s="5" t="inlineStr">
        <is>
          <t>Solicitud de vacaciones y pre-nómina pendientes</t>
        </is>
      </c>
      <c r="E8" s="5" t="inlineStr">
        <is>
          <t>Aprobar una no altera el estado de la otra</t>
        </is>
      </c>
      <c r="F8" s="5" t="inlineStr">
        <is>
          <t>test_vacaciones_aprobadas_en_bandeja_conviven_con_prenomina</t>
        </is>
      </c>
      <c r="G8" s="4" t="inlineStr">
        <is>
          <t>Aprobado</t>
        </is>
      </c>
    </row>
    <row r="9">
      <c r="A9" s="14" t="inlineStr">
        <is>
          <t>PI-06</t>
        </is>
      </c>
      <c r="B9" s="15" t="inlineStr">
        <is>
          <t>Usuarios</t>
        </is>
      </c>
      <c r="C9" s="15" t="inlineStr">
        <is>
          <t>Formulario no guarda datos inválidos</t>
        </is>
      </c>
      <c r="D9" s="15" t="inlineStr">
        <is>
          <t>POST con nombre con números e identificación con letras</t>
        </is>
      </c>
      <c r="E9" s="15" t="inlineStr">
        <is>
          <t>Respuesta 200 con ambos mensajes y sin crear el usuario</t>
        </is>
      </c>
      <c r="F9" s="15" t="inlineStr">
        <is>
          <t>test_validacion_formulario_usuario_no_guarda_datos_invalidos</t>
        </is>
      </c>
      <c r="G9" s="14" t="inlineStr">
        <is>
          <t>Aprobado</t>
        </is>
      </c>
    </row>
    <row r="10">
      <c r="A10" s="4" t="inlineStr">
        <is>
          <t>PI-07</t>
        </is>
      </c>
      <c r="B10" s="5" t="inlineStr">
        <is>
          <t>Novedades</t>
        </is>
      </c>
      <c r="C10" s="5" t="inlineStr">
        <is>
          <t>Vista de horas extra no duplica</t>
        </is>
      </c>
      <c r="D10" s="5" t="inlineStr">
        <is>
          <t>POST de hora extra repetida y de mes calculado</t>
        </is>
      </c>
      <c r="E10" s="5" t="inlineStr">
        <is>
          <t>Respuesta 200, conserva errores y valores escritos, sin duplicar</t>
        </is>
      </c>
      <c r="F10" s="5" t="inlineStr">
        <is>
          <t>test_vista_horas_extra_no_duplica_y_muestra_error, _bloqueada_por_nomina, _valida_redirige. Confirmó que 3 hallazgos de la revisión de código eran falsos positivos.</t>
        </is>
      </c>
      <c r="G10" s="4" t="inlineStr">
        <is>
          <t>Aprobado</t>
        </is>
      </c>
    </row>
    <row r="11">
      <c r="A11" s="14" t="inlineStr">
        <is>
          <t>PI-08</t>
        </is>
      </c>
      <c r="B11" s="15" t="inlineStr">
        <is>
          <t>Reportes</t>
        </is>
      </c>
      <c r="C11" s="15" t="inlineStr">
        <is>
          <t>Dashboard y PDF de reportes</t>
        </is>
      </c>
      <c r="D11" s="15" t="inlineStr">
        <is>
          <t>Gerente/Auxiliar/Vendedor/anónimo; períodos válidos e inválidos</t>
        </is>
      </c>
      <c r="E11" s="15" t="inlineStr">
        <is>
          <t>200 para Gerente y Auxiliar, 403 Vendedor, login para anónimo; PDF con auditoría EXPORTAR</t>
        </is>
      </c>
      <c r="F11" s="15" t="inlineStr">
        <is>
          <t>ReporteMensualViewTest y ReportePDFViewTest (7 pruebas)</t>
        </is>
      </c>
      <c r="G11" s="14" t="inlineStr">
        <is>
          <t>Aprobado</t>
        </is>
      </c>
    </row>
    <row r="12">
      <c r="A12" s="4" t="inlineStr">
        <is>
          <t>PI-09</t>
        </is>
      </c>
      <c r="B12" s="5" t="inlineStr">
        <is>
          <t>Novedades</t>
        </is>
      </c>
      <c r="C12" s="5" t="inlineStr">
        <is>
          <t>Ventana única de Novedades</t>
        </is>
      </c>
      <c r="D12" s="5" t="inlineStr">
        <is>
          <t>GET y POST de bonificaciones y horas extra</t>
        </is>
      </c>
      <c r="E12" s="5" t="inlineStr">
        <is>
          <t>Ambas secciones en una pantalla; redirecciones y errores correctos</t>
        </is>
      </c>
      <c r="F12" s="5" t="inlineStr">
        <is>
          <t>NovedadesViewTest (8 pruebas)</t>
        </is>
      </c>
      <c r="G12" s="4" t="inlineStr">
        <is>
          <t>Aprobado</t>
        </is>
      </c>
    </row>
  </sheetData>
  <autoFilter ref="A3:G12"/>
  <mergeCells count="1">
    <mergeCell ref="A1:G1"/>
  </mergeCells>
  <conditionalFormatting sqref="G4:G12">
    <cfRule type="cellIs" priority="1" operator="equal" dxfId="0">
      <formula>"Aprobado"</formula>
    </cfRule>
    <cfRule type="cellIs" priority="2" operator="equal" dxfId="1">
      <formula>"Aprobado con observación"</formula>
    </cfRule>
    <cfRule type="cellIs" priority="3" operator="equal" dxfId="2">
      <formula>"No cumple"</formula>
    </cfRule>
  </conditionalFormatting>
  <dataValidations count="1">
    <dataValidation sqref="G4:G12" showDropDown="0" showInputMessage="0" showErrorMessage="0" allowBlank="0" type="list">
      <formula1>"Aprobado,Aprobado con observación,No cumple,Pendiente"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42" customWidth="1" min="3" max="3"/>
    <col width="42" customWidth="1" min="4" max="4"/>
    <col width="46" customWidth="1" min="5" max="5"/>
    <col width="52" customWidth="1" min="6" max="6"/>
    <col width="16" customWidth="1" min="7" max="7"/>
  </cols>
  <sheetData>
    <row r="1">
      <c r="A1" s="13" t="inlineStr">
        <is>
          <t>Plan de pruebas — Rendimiento</t>
        </is>
      </c>
    </row>
    <row r="3">
      <c r="A3" s="10" t="inlineStr">
        <is>
          <t>ID</t>
        </is>
      </c>
      <c r="B3" s="10" t="inlineStr">
        <is>
          <t>Módulo</t>
        </is>
      </c>
      <c r="C3" s="10" t="inlineStr">
        <is>
          <t>Descripción</t>
        </is>
      </c>
      <c r="D3" s="10" t="inlineStr">
        <is>
          <t>Entrada</t>
        </is>
      </c>
      <c r="E3" s="10" t="inlineStr">
        <is>
          <t>Resultado esperado</t>
        </is>
      </c>
      <c r="F3" s="10" t="inlineStr">
        <is>
          <t>Observación</t>
        </is>
      </c>
      <c r="G3" s="10" t="inlineStr">
        <is>
          <t>Estado</t>
        </is>
      </c>
    </row>
    <row r="4">
      <c r="A4" s="4" t="inlineStr">
        <is>
          <t>PR-01</t>
        </is>
      </c>
      <c r="B4" s="5" t="inlineStr">
        <is>
          <t>Carga</t>
        </is>
      </c>
      <c r="C4" s="5" t="inlineStr">
        <is>
          <t>Carga sostenida — línea base</t>
        </is>
      </c>
      <c r="D4" s="5" t="inlineStr">
        <is>
          <t>30 usuarios concurrentes, 3 min, servidor local waitress + Neon (base separada)</t>
        </is>
      </c>
      <c r="E4" s="5" t="inlineStr">
        <is>
          <t>0% de errores; p95 &lt; 2.000 ms en páginas y &lt; 4.000 ms en PDF</t>
        </is>
      </c>
      <c r="F4" s="5" t="inlineStr">
        <is>
          <t>858 peticiones, 0 errores, mediana 3.500 ms, p95 4.200 ms, 4,8 req/s. Causa: conexión nueva a Neon en cada petición.</t>
        </is>
      </c>
      <c r="G4" s="4" t="inlineStr">
        <is>
          <t>No cumple</t>
        </is>
      </c>
    </row>
    <row r="5">
      <c r="A5" s="14" t="inlineStr">
        <is>
          <t>PR-02</t>
        </is>
      </c>
      <c r="B5" s="15" t="inlineStr">
        <is>
          <t>Carga</t>
        </is>
      </c>
      <c r="C5" s="15" t="inlineStr">
        <is>
          <t>Carga sostenida — con conexiones persistentes</t>
        </is>
      </c>
      <c r="D5" s="15" t="inlineStr">
        <is>
          <t>Mismo escenario con CONN_MAX_AGE=60</t>
        </is>
      </c>
      <c r="E5" s="15" t="inlineStr">
        <is>
          <t>0% de errores; p95 &lt; 2.000 ms en páginas y &lt; 4.000 ms en PDF</t>
        </is>
      </c>
      <c r="F5" s="15" t="inlineStr">
        <is>
          <t>1.380 peticiones (+61%), 0 errores, mediana 1.300 ms (−63%), p95 global 2.000 ms, PDF 1.600 ms. Login (2,7 s), Novedades (2,5 s) y Cálculo (2,4 s) quedan algo arriba por latencia de red local → EE. UU.</t>
        </is>
      </c>
      <c r="G5" s="14" t="inlineStr">
        <is>
          <t>Aprobado con observación</t>
        </is>
      </c>
    </row>
    <row r="6">
      <c r="A6" s="4" t="inlineStr">
        <is>
          <t>PR-03</t>
        </is>
      </c>
      <c r="B6" s="5" t="inlineStr">
        <is>
          <t>Estrés</t>
        </is>
      </c>
      <c r="C6" s="5" t="inlineStr">
        <is>
          <t>Estrés escalonado hasta el punto de quiebre</t>
        </is>
      </c>
      <c r="D6" s="5" t="inlineStr">
        <is>
          <t>20 a 200 usuarios, +20 cada 45 s</t>
        </is>
      </c>
      <c r="E6" s="5" t="inlineStr">
        <is>
          <t>Identificar el punto en que errores &gt; 1% o p95 &gt; 5 s</t>
        </is>
      </c>
      <c r="F6" s="5" t="inlineStr">
        <is>
          <t>Capacidad cómoda ≈ 35 usuarios (p95 ≤ 2 s). Quiebre por latencia en ≈ 60 usuarios (p95 5,8 s). Throughput se estabiliza en ≈ 8,4 req/s. 0 errores en 3.546 peticiones con 200 usuarios: degrada sin caerse.</t>
        </is>
      </c>
      <c r="G6" s="4" t="inlineStr">
        <is>
          <t>Aprobado</t>
        </is>
      </c>
    </row>
    <row r="7">
      <c r="A7" s="14" t="inlineStr">
        <is>
          <t>PR-04</t>
        </is>
      </c>
      <c r="B7" s="15" t="inlineStr">
        <is>
          <t>Humo</t>
        </is>
      </c>
      <c r="C7" s="15" t="inlineStr">
        <is>
          <t>Humo en producción (Vercel)</t>
        </is>
      </c>
      <c r="D7" s="15" t="inlineStr">
        <is>
          <t>5 usuarios anónimos, 1 min, login y CSS</t>
        </is>
      </c>
      <c r="E7" s="15" t="inlineStr">
        <is>
          <t>0% de errores y respuesta rápida</t>
        </is>
      </c>
      <c r="F7" s="15" t="inlineStr">
        <is>
          <t>334 peticiones, 0 errores, mediana 110 ms, p95 140 ms.</t>
        </is>
      </c>
      <c r="G7" s="14" t="inlineStr">
        <is>
          <t>Aprobado</t>
        </is>
      </c>
    </row>
  </sheetData>
  <autoFilter ref="A3:G7"/>
  <mergeCells count="1">
    <mergeCell ref="A1:G1"/>
  </mergeCells>
  <conditionalFormatting sqref="G4:G7">
    <cfRule type="cellIs" priority="1" operator="equal" dxfId="0">
      <formula>"Aprobado"</formula>
    </cfRule>
    <cfRule type="cellIs" priority="2" operator="equal" dxfId="1">
      <formula>"Aprobado con observación"</formula>
    </cfRule>
    <cfRule type="cellIs" priority="3" operator="equal" dxfId="2">
      <formula>"No cumple"</formula>
    </cfRule>
  </conditionalFormatting>
  <dataValidations count="1">
    <dataValidation sqref="G4:G7" showDropDown="0" showInputMessage="0" showErrorMessage="0" allowBlank="0" type="list">
      <formula1>"Aprobado,Aprobado con observación,No cumple,Pendiente"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2026-10-25T05:44:02Z</dcterms:created>
  <dcterms:modified xsi:type="dcterms:W3CDTF">2026-10-25T05:44:02Z</dcterms:modified>
</cp:coreProperties>
</file>